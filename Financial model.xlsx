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ashsultania/Desktop/Bento/"/>
    </mc:Choice>
  </mc:AlternateContent>
  <xr:revisionPtr revIDLastSave="0" documentId="13_ncr:1_{EE75E3F6-D826-2A41-A8AE-80E61929D182}" xr6:coauthVersionLast="47" xr6:coauthVersionMax="47" xr10:uidLastSave="{00000000-0000-0000-0000-000000000000}"/>
  <bookViews>
    <workbookView xWindow="380" yWindow="500" windowWidth="28040" windowHeight="16940" activeTab="5" xr2:uid="{75B3791E-C096-8041-AFDD-C6FA6477DE49}"/>
  </bookViews>
  <sheets>
    <sheet name="Assumptions" sheetId="1" r:id="rId1"/>
    <sheet name="Revenue" sheetId="2" r:id="rId2"/>
    <sheet name="Cost" sheetId="3" r:id="rId3"/>
    <sheet name="Unit economics" sheetId="4" r:id="rId4"/>
    <sheet name="Break even analysis" sheetId="5" r:id="rId5"/>
    <sheet name="Projected P&amp;L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" i="2" l="1"/>
  <c r="C10" i="4"/>
  <c r="D3" i="4"/>
  <c r="B7" i="6"/>
  <c r="C7" i="6" s="1"/>
  <c r="D7" i="6" s="1"/>
  <c r="B6" i="6"/>
  <c r="C6" i="6" s="1"/>
  <c r="D6" i="6" s="1"/>
  <c r="B5" i="6"/>
  <c r="C5" i="6" s="1"/>
  <c r="D5" i="6" s="1"/>
  <c r="B4" i="6"/>
  <c r="B8" i="6" s="1"/>
  <c r="D5" i="4"/>
  <c r="C11" i="4" s="1"/>
  <c r="B60" i="3"/>
  <c r="B50" i="3"/>
  <c r="B31" i="3"/>
  <c r="B62" i="3" s="1"/>
  <c r="B4" i="5" s="1"/>
  <c r="B13" i="3"/>
  <c r="B17" i="3" s="1"/>
  <c r="B1" i="5" s="1"/>
  <c r="C7" i="5" s="1"/>
  <c r="D5" i="2"/>
  <c r="B6" i="2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23" i="2" s="1"/>
  <c r="D2" i="1"/>
  <c r="D4" i="1"/>
  <c r="D3" i="1"/>
  <c r="C4" i="6" l="1"/>
  <c r="E5" i="2"/>
  <c r="B18" i="2"/>
  <c r="C12" i="4"/>
  <c r="C14" i="4" s="1"/>
  <c r="B3" i="5" s="1"/>
  <c r="D10" i="2"/>
  <c r="E10" i="2" s="1"/>
  <c r="F10" i="2" s="1"/>
  <c r="D9" i="2"/>
  <c r="E9" i="2" s="1"/>
  <c r="F9" i="2" s="1"/>
  <c r="B24" i="2"/>
  <c r="D23" i="2"/>
  <c r="D8" i="2"/>
  <c r="E8" i="2" s="1"/>
  <c r="F8" i="2" s="1"/>
  <c r="D12" i="2"/>
  <c r="E12" i="2" s="1"/>
  <c r="F12" i="2" s="1"/>
  <c r="D11" i="2"/>
  <c r="E11" i="2" s="1"/>
  <c r="F11" i="2" s="1"/>
  <c r="D16" i="2"/>
  <c r="E16" i="2" s="1"/>
  <c r="F16" i="2" s="1"/>
  <c r="D15" i="2"/>
  <c r="E15" i="2" s="1"/>
  <c r="F15" i="2" s="1"/>
  <c r="D7" i="2"/>
  <c r="E7" i="2" s="1"/>
  <c r="F7" i="2" s="1"/>
  <c r="D14" i="2"/>
  <c r="E14" i="2" s="1"/>
  <c r="F14" i="2" s="1"/>
  <c r="D6" i="2"/>
  <c r="E6" i="2" s="1"/>
  <c r="F6" i="2" s="1"/>
  <c r="D13" i="2"/>
  <c r="E13" i="2" s="1"/>
  <c r="F13" i="2" s="1"/>
  <c r="D4" i="6" l="1"/>
  <c r="D8" i="6" s="1"/>
  <c r="C8" i="6"/>
  <c r="E18" i="2"/>
  <c r="F5" i="2"/>
  <c r="F18" i="2" s="1"/>
  <c r="B3" i="6" s="1"/>
  <c r="D18" i="2"/>
  <c r="B10" i="6" s="1"/>
  <c r="E23" i="2"/>
  <c r="B21" i="5"/>
  <c r="B14" i="5"/>
  <c r="B17" i="5"/>
  <c r="B10" i="5"/>
  <c r="B12" i="5"/>
  <c r="B20" i="5"/>
  <c r="B16" i="5"/>
  <c r="B19" i="5"/>
  <c r="B11" i="5"/>
  <c r="B18" i="5"/>
  <c r="B13" i="5"/>
  <c r="B8" i="5"/>
  <c r="C8" i="5" s="1"/>
  <c r="B15" i="5"/>
  <c r="B9" i="5"/>
  <c r="B25" i="2"/>
  <c r="B22" i="5" s="1"/>
  <c r="D24" i="2"/>
  <c r="E24" i="2" s="1"/>
  <c r="F24" i="2" s="1"/>
  <c r="C9" i="5" l="1"/>
  <c r="C10" i="5" s="1"/>
  <c r="C11" i="5" s="1"/>
  <c r="C12" i="5" s="1"/>
  <c r="C13" i="5" s="1"/>
  <c r="C14" i="5" s="1"/>
  <c r="C15" i="5" s="1"/>
  <c r="C16" i="5" s="1"/>
  <c r="C17" i="5"/>
  <c r="C18" i="5" s="1"/>
  <c r="C19" i="5" s="1"/>
  <c r="C20" i="5" s="1"/>
  <c r="C21" i="5" s="1"/>
  <c r="C22" i="5" s="1"/>
  <c r="B11" i="6"/>
  <c r="B9" i="6"/>
  <c r="F23" i="2"/>
  <c r="B26" i="2"/>
  <c r="B23" i="5" s="1"/>
  <c r="D25" i="2"/>
  <c r="B12" i="6" l="1"/>
  <c r="B13" i="6" s="1"/>
  <c r="E25" i="2"/>
  <c r="C23" i="5"/>
  <c r="B27" i="2"/>
  <c r="B24" i="5" s="1"/>
  <c r="D26" i="2"/>
  <c r="E26" i="2" s="1"/>
  <c r="F26" i="2" s="1"/>
  <c r="C24" i="5" l="1"/>
  <c r="F25" i="2"/>
  <c r="B28" i="2"/>
  <c r="B25" i="5" s="1"/>
  <c r="D27" i="2"/>
  <c r="E27" i="2" s="1"/>
  <c r="F27" i="2" s="1"/>
  <c r="C25" i="5" l="1"/>
  <c r="B29" i="2"/>
  <c r="B26" i="5" s="1"/>
  <c r="D28" i="2"/>
  <c r="E28" i="2" s="1"/>
  <c r="F28" i="2" s="1"/>
  <c r="C26" i="5" l="1"/>
  <c r="B30" i="2"/>
  <c r="B27" i="5" s="1"/>
  <c r="D29" i="2"/>
  <c r="E29" i="2" s="1"/>
  <c r="F29" i="2" s="1"/>
  <c r="C27" i="5" l="1"/>
  <c r="B31" i="2"/>
  <c r="B28" i="5" s="1"/>
  <c r="D30" i="2"/>
  <c r="E30" i="2" s="1"/>
  <c r="F30" i="2" s="1"/>
  <c r="C28" i="5" l="1"/>
  <c r="B32" i="2"/>
  <c r="B29" i="5" s="1"/>
  <c r="D31" i="2"/>
  <c r="E31" i="2" s="1"/>
  <c r="F31" i="2" s="1"/>
  <c r="C29" i="5" l="1"/>
  <c r="B33" i="2"/>
  <c r="B30" i="5" s="1"/>
  <c r="D32" i="2"/>
  <c r="E32" i="2" s="1"/>
  <c r="F32" i="2" s="1"/>
  <c r="C30" i="5" l="1"/>
  <c r="B34" i="2"/>
  <c r="D33" i="2"/>
  <c r="E33" i="2" s="1"/>
  <c r="F33" i="2" s="1"/>
  <c r="B31" i="5" l="1"/>
  <c r="B36" i="2"/>
  <c r="C31" i="5"/>
  <c r="D34" i="2"/>
  <c r="B41" i="2"/>
  <c r="B32" i="5" l="1"/>
  <c r="C32" i="5" s="1"/>
  <c r="E34" i="2"/>
  <c r="D36" i="2"/>
  <c r="C10" i="6" s="1"/>
  <c r="D41" i="2"/>
  <c r="B42" i="2"/>
  <c r="B33" i="5" s="1"/>
  <c r="F34" i="2" l="1"/>
  <c r="F36" i="2" s="1"/>
  <c r="C3" i="6" s="1"/>
  <c r="E36" i="2"/>
  <c r="E41" i="2"/>
  <c r="C33" i="5"/>
  <c r="D42" i="2"/>
  <c r="E42" i="2" s="1"/>
  <c r="F42" i="2" s="1"/>
  <c r="B43" i="2"/>
  <c r="B34" i="5" s="1"/>
  <c r="C34" i="5" l="1"/>
  <c r="C9" i="6"/>
  <c r="C11" i="6"/>
  <c r="C12" i="6" s="1"/>
  <c r="F41" i="2"/>
  <c r="C13" i="6"/>
  <c r="B44" i="2"/>
  <c r="B35" i="5" s="1"/>
  <c r="D43" i="2"/>
  <c r="E43" i="2" s="1"/>
  <c r="F43" i="2" s="1"/>
  <c r="C35" i="5" l="1"/>
  <c r="B45" i="2"/>
  <c r="D44" i="2"/>
  <c r="E44" i="2" l="1"/>
  <c r="B36" i="5"/>
  <c r="C36" i="5" s="1"/>
  <c r="B46" i="2"/>
  <c r="B37" i="5" s="1"/>
  <c r="D45" i="2"/>
  <c r="E45" i="2" s="1"/>
  <c r="F45" i="2" s="1"/>
  <c r="C37" i="5" l="1"/>
  <c r="F44" i="2"/>
  <c r="B47" i="2"/>
  <c r="B38" i="5" s="1"/>
  <c r="D46" i="2"/>
  <c r="E46" i="2" s="1"/>
  <c r="F46" i="2" s="1"/>
  <c r="C38" i="5" l="1"/>
  <c r="B48" i="2"/>
  <c r="B39" i="5" s="1"/>
  <c r="D47" i="2"/>
  <c r="E47" i="2" s="1"/>
  <c r="F47" i="2" s="1"/>
  <c r="C39" i="5" l="1"/>
  <c r="B49" i="2"/>
  <c r="B40" i="5" s="1"/>
  <c r="D48" i="2"/>
  <c r="E48" i="2" s="1"/>
  <c r="F48" i="2" s="1"/>
  <c r="C40" i="5" l="1"/>
  <c r="B50" i="2"/>
  <c r="B41" i="5" s="1"/>
  <c r="D49" i="2"/>
  <c r="E49" i="2" s="1"/>
  <c r="F49" i="2" s="1"/>
  <c r="C41" i="5" l="1"/>
  <c r="B51" i="2"/>
  <c r="B42" i="5" s="1"/>
  <c r="D50" i="2"/>
  <c r="E50" i="2" s="1"/>
  <c r="F50" i="2" s="1"/>
  <c r="C42" i="5" l="1"/>
  <c r="B52" i="2"/>
  <c r="D51" i="2"/>
  <c r="E51" i="2" s="1"/>
  <c r="F51" i="2" s="1"/>
  <c r="D52" i="2" l="1"/>
  <c r="B43" i="5"/>
  <c r="B54" i="2"/>
  <c r="C43" i="5"/>
  <c r="E52" i="2" l="1"/>
  <c r="D54" i="2"/>
  <c r="D10" i="6" s="1"/>
  <c r="F52" i="2" l="1"/>
  <c r="F54" i="2" s="1"/>
  <c r="D3" i="6" s="1"/>
  <c r="E54" i="2"/>
  <c r="D9" i="6" l="1"/>
  <c r="D11" i="6"/>
  <c r="D12" i="6" l="1"/>
  <c r="D13" i="6" s="1"/>
</calcChain>
</file>

<file path=xl/sharedStrings.xml><?xml version="1.0" encoding="utf-8"?>
<sst xmlns="http://schemas.openxmlformats.org/spreadsheetml/2006/main" count="165" uniqueCount="116">
  <si>
    <t>Market size</t>
  </si>
  <si>
    <t>Penetration year 1</t>
  </si>
  <si>
    <t>Penetration year 2</t>
  </si>
  <si>
    <t>Penetration year 3</t>
  </si>
  <si>
    <t>User base</t>
  </si>
  <si>
    <t>Average order quantity per customer' per month</t>
  </si>
  <si>
    <t>Average order value per meal</t>
  </si>
  <si>
    <t>Commision (listing fee, convineance fee)</t>
  </si>
  <si>
    <t>year 1</t>
  </si>
  <si>
    <t>year 2</t>
  </si>
  <si>
    <t>year 3</t>
  </si>
  <si>
    <t>Monthly customer growth rate</t>
  </si>
  <si>
    <t>Revenue</t>
  </si>
  <si>
    <t>Fixed costs:</t>
  </si>
  <si>
    <t>Customers acquired:</t>
  </si>
  <si>
    <t>Year 1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</si>
  <si>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</si>
  <si>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</si>
  <si>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</si>
  <si>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</si>
  <si>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</si>
  <si>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</si>
  <si>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</si>
  <si>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</si>
  <si>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</si>
  <si>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</si>
  <si>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</si>
  <si>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</si>
  <si>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Growth rate</t>
  </si>
  <si>
    <t>-</t>
  </si>
  <si>
    <t>Year 2</t>
  </si>
  <si>
    <t>Year 3</t>
  </si>
  <si>
    <t>No. of customers</t>
  </si>
  <si>
    <t>No. of orders</t>
  </si>
  <si>
    <t>GMV</t>
  </si>
  <si>
    <t>Total</t>
  </si>
  <si>
    <t>One time costs (upfront)</t>
  </si>
  <si>
    <t>App development (all in)</t>
  </si>
  <si>
    <t>Legal</t>
  </si>
  <si>
    <t>Item</t>
  </si>
  <si>
    <t>Cost (AED)</t>
  </si>
  <si>
    <t>Notes</t>
  </si>
  <si>
    <t>Freezone license (IFZA/SHAMS/RAKEZ)</t>
  </si>
  <si>
    <t>E-commerce activity fee</t>
  </si>
  <si>
    <t>Establishment card</t>
  </si>
  <si>
    <t>Basic legal documentation</t>
  </si>
  <si>
    <t>Bank minimum balance</t>
  </si>
  <si>
    <t>Launch creatives, promo videos</t>
  </si>
  <si>
    <t>Total upfront cost</t>
  </si>
  <si>
    <t>Fixed costs</t>
  </si>
  <si>
    <t>Technical costs</t>
  </si>
  <si>
    <t>Monthly Cost (AED)</t>
  </si>
  <si>
    <t>Cloud hosting (AWS / Render / DigitalOcean)</t>
  </si>
  <si>
    <t>Managed database</t>
  </si>
  <si>
    <t>File storage (images)</t>
  </si>
  <si>
    <t>API costs (Maps, routing, geocoding)</t>
  </si>
  <si>
    <t>Email + OTP + notifications</t>
  </si>
  <si>
    <t xml:space="preserve">Operational costs </t>
  </si>
  <si>
    <t>Role</t>
  </si>
  <si>
    <t>Part-time operations coordinator</t>
  </si>
  <si>
    <t>Founder-led + one helper.</t>
  </si>
  <si>
    <t>Freelance dev retainer</t>
  </si>
  <si>
    <t>For bug fixes &amp; feature additions.</t>
  </si>
  <si>
    <t>Marketing budget</t>
  </si>
  <si>
    <t>Channel</t>
  </si>
  <si>
    <t>Monthly Spend (AED)</t>
  </si>
  <si>
    <t>Instagram/TikTok ads</t>
  </si>
  <si>
    <t>Influencers (micro)</t>
  </si>
  <si>
    <t>University stalls (occasional)</t>
  </si>
  <si>
    <t>Free food tasting subsidized by vendors</t>
  </si>
  <si>
    <t>New idea budget (small events/promo)</t>
  </si>
  <si>
    <t>Accounting (freelancer)</t>
  </si>
  <si>
    <t>Domain + hosting</t>
  </si>
  <si>
    <t>Co-working (hot desk)</t>
  </si>
  <si>
    <t>Admin and misc</t>
  </si>
  <si>
    <t>Misc</t>
  </si>
  <si>
    <t>Total monthly fixed cost</t>
  </si>
  <si>
    <t>Variable Cost Component</t>
  </si>
  <si>
    <t>Cost</t>
  </si>
  <si>
    <t>Payment gateway</t>
  </si>
  <si>
    <t>2.5% + 0.50 AED per order</t>
  </si>
  <si>
    <t>Customer support load</t>
  </si>
  <si>
    <t>0.10 – 0.20 AED per order</t>
  </si>
  <si>
    <t>Refunds &amp; quality issues</t>
  </si>
  <si>
    <t>1% of GMV</t>
  </si>
  <si>
    <t>Server load</t>
  </si>
  <si>
    <t>0.001 – 0.003 AED per order</t>
  </si>
  <si>
    <t>Revenue per customer</t>
  </si>
  <si>
    <t>Monthly orders</t>
  </si>
  <si>
    <t>Order value</t>
  </si>
  <si>
    <t xml:space="preserve">Commision </t>
  </si>
  <si>
    <t>Payment gateway cost</t>
  </si>
  <si>
    <t>Refund buffer</t>
  </si>
  <si>
    <t>Infra</t>
  </si>
  <si>
    <t>Revenue per order</t>
  </si>
  <si>
    <t>Contribution</t>
  </si>
  <si>
    <t>Variable cost per order</t>
  </si>
  <si>
    <t>Contribution per customer</t>
  </si>
  <si>
    <t>(per month)</t>
  </si>
  <si>
    <t>Expected fixed cost</t>
  </si>
  <si>
    <t>Year</t>
  </si>
  <si>
    <t>Operational costs</t>
  </si>
  <si>
    <t>Marketing costs</t>
  </si>
  <si>
    <t>Total fixed costs</t>
  </si>
  <si>
    <t>Payment gateway costs</t>
  </si>
  <si>
    <t>Refund and quality issues</t>
  </si>
  <si>
    <t>Total variable cost</t>
  </si>
  <si>
    <t>EBIT</t>
  </si>
  <si>
    <t>Total upfront cost (month zero)</t>
  </si>
  <si>
    <t>Month</t>
  </si>
  <si>
    <t>Net profit</t>
  </si>
  <si>
    <t>Net cash</t>
  </si>
  <si>
    <t>Total technical costs</t>
  </si>
  <si>
    <t>Total operational costs</t>
  </si>
  <si>
    <t>Total marketing costs</t>
  </si>
  <si>
    <t>Total admin and misc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</si>
</sst>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rgb="FF000000"/>
      <name val="Aptos Narrow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6">
    <xf numFmtId="0" fontId="0" fillId="0" borderId="0" xfId="0"/>
    <xf numFmtId="9" fontId="0" fillId="0" borderId="0" xfId="0" applyNumberFormat="1"/>
    <xf numFmtId="10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165" fontId="0" fillId="0" borderId="0" xfId="1" applyNumberFormat="1" applyFont="1" applyAlignment="1">
      <alignment horizontal="right" vertical="center"/>
    </xf>
    <xf numFmtId="165" fontId="0" fillId="0" borderId="0" xfId="0" applyNumberFormat="1"/>
    <xf numFmtId="43" fontId="0" fillId="0" borderId="0" xfId="0" applyNumberFormat="1"/>
    <xf numFmtId="3" fontId="0" fillId="0" borderId="0" xfId="0" applyNumberForma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3" fontId="7" fillId="0" borderId="0" xfId="0" applyNumberFormat="1" applyFont="1"/>
    <xf numFmtId="0" fontId="0" fillId="2" borderId="0" xfId="0" applyFill="1"/>
    <xf numFmtId="0" fontId="6" fillId="2" borderId="0" xfId="0" applyFont="1" applyFill="1"/>
    <xf numFmtId="0" fontId="7" fillId="2" borderId="0" xfId="0" applyFont="1" applyFill="1"/>
    <xf numFmtId="43" fontId="0" fillId="0" borderId="0" xfId="1" applyFont="1"/>
    <xf numFmtId="43" fontId="7" fillId="0" borderId="0" xfId="1" applyFont="1"/>
    <xf numFmtId="43" fontId="7" fillId="2" borderId="0" xfId="1" applyFont="1" applyFill="1"/>
    <xf numFmtId="43" fontId="0" fillId="2" borderId="0" xfId="1" applyFont="1" applyFill="1"/>
    <xf numFmtId="3" fontId="0" fillId="2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'Projected P&amp;L'!$A$13</c:f>
              <c:strCache>
                <c:ptCount val="1"/>
                <c:pt idx="0">
                  <c:v>EBIT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'Projected P&amp;L'!$B$13:$D$13</c:f>
              <c:numCache>
                <c:formatCode>_(* #,##0.00_);_(* \(#,##0.00\);_(* "-"??_);_(@_)</c:formatCode>
                <c:ptCount val="3"/>
                <c:pt idx="0">
                  <c:v>111831.13541169952</c:v>
                </c:pt>
                <c:pt idx="1">
                  <c:v>249231.16391000143</c:v>
                </c:pt>
                <c:pt idx="2">
                  <c:v>603049.56074789877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79-654D-AC21-F18AB9142D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8909423"/>
        <c:axId val="594222688"/>
      </c:barChart>
      <c:catAx>
        <c:axId val="658909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222688"/>
        <c:crosses val="autoZero"/>
        <c:auto val="1"/>
        <c:lblAlgn val="ctr"/>
        <c:lblOffset val="100"/>
        <c:noMultiLvlLbl val="0"/>
      </c:catAx>
      <c:valAx>
        <c:axId val="594222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89094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15437</xdr:colOff>
      <xdr:row>0</xdr:row>
      <xdr:rowOff>200112</xdr:rowOff>
    </xdr:from>
    <xdr:to>
      <xdr:col>9</xdr:col>
      <xdr:colOff>447658</xdr:colOff>
      <xdr:row>14</xdr:row>
      <xdr:rowOff>94583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0ED91C-0319-9A28-4A98-2467E9A3E9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27B6E-3AC6-DE4E-996B-648A06F9547B}">
  <dimension ref="A1:H16"/>
  <sheetViews>
    <sheetView zoomScale="113" workbookViewId="0">
      <selection activeCell="B13" sqref="B13"/>
    </sheetView>
  </sheetViews>
  <sheetFormatPr baseColWidth="10" defaultRowHeight="16" x14ac:dyDescent="0.2"/>
  <cols>
    <col min="1" max="1" width="39.83203125" bestFit="1" customWidth="1"/>
  </cols>
  <sheetData>
    <row r="1" spans="1:8" x14ac:dyDescent="0.2">
      <c r="A1" t="s">
        <v>0</v>
      </c>
      <c r="B1">
        <v>250000</v>
      </c>
      <c r="D1" t="s">
        <v>4</v>
      </c>
    </row>
    <row r="2" spans="1:8" x14ac:dyDescent="0.2">
      <c r="A2" t="s">
        <v>1</v>
      </c>
      <c r="B2" s="4">
        <v>3.0000000000000001E-3</v>
      </c>
      <c r="D2">
        <f>B1*B2</f>
        <v>750</v>
      </c>
    </row>
    <row r="3" spans="1:8" x14ac:dyDescent="0.2">
      <c r="A3" t="s">
        <v>2</v>
      </c>
      <c r="B3" s="1">
        <v>0.01</v>
      </c>
      <c r="D3">
        <f>B1*B3</f>
        <v>2500</v>
      </c>
      <c r="H3" s="3"/>
    </row>
    <row r="4" spans="1:8" x14ac:dyDescent="0.2">
      <c r="A4" t="s">
        <v>3</v>
      </c>
      <c r="B4" s="2">
        <v>2.5000000000000001E-2</v>
      </c>
      <c r="D4">
        <f>B1*B4</f>
        <v>6250</v>
      </c>
      <c r="H4" s="3"/>
    </row>
    <row r="5" spans="1:8" x14ac:dyDescent="0.2">
      <c r="H5" s="3"/>
    </row>
    <row r="6" spans="1:8" x14ac:dyDescent="0.2">
      <c r="A6" t="s">
        <v>5</v>
      </c>
      <c r="B6">
        <v>20</v>
      </c>
      <c r="H6" s="3"/>
    </row>
    <row r="7" spans="1:8" x14ac:dyDescent="0.2">
      <c r="A7" t="s">
        <v>6</v>
      </c>
      <c r="B7">
        <v>18</v>
      </c>
      <c r="H7" s="3"/>
    </row>
    <row r="8" spans="1:8" x14ac:dyDescent="0.2">
      <c r="A8" t="s">
        <v>7</v>
      </c>
      <c r="B8" s="1"/>
      <c r="H8" s="3"/>
    </row>
    <row r="9" spans="1:8" x14ac:dyDescent="0.2">
      <c r="B9" s="1"/>
      <c r="H9" s="3"/>
    </row>
    <row r="10" spans="1:8" x14ac:dyDescent="0.2">
      <c r="A10" t="s">
        <v>8</v>
      </c>
      <c r="B10" s="1">
        <v>0.15</v>
      </c>
      <c r="H10" s="3"/>
    </row>
    <row r="11" spans="1:8" x14ac:dyDescent="0.2">
      <c r="A11" t="s">
        <v>9</v>
      </c>
      <c r="B11" s="1">
        <v>0.16</v>
      </c>
      <c r="H11" s="3"/>
    </row>
    <row r="12" spans="1:8" x14ac:dyDescent="0.2">
      <c r="A12" t="s">
        <v>10</v>
      </c>
      <c r="B12" s="1">
        <v>0.18</v>
      </c>
      <c r="H12" s="3"/>
    </row>
    <row r="13" spans="1:8" x14ac:dyDescent="0.2">
      <c r="H13" s="3"/>
    </row>
    <row r="14" spans="1:8" x14ac:dyDescent="0.2">
      <c r="A14" t="s">
        <v>11</v>
      </c>
      <c r="B14" s="1">
        <v>0.08</v>
      </c>
      <c r="H14" s="3"/>
    </row>
    <row r="16" spans="1:8" x14ac:dyDescent="0.2">
      <c r="A16" t="s">
        <v>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EFF01-A334-D746-A4B7-AD0F74E90ADE}">
  <dimension ref="A1:I54"/>
  <sheetViews>
    <sheetView topLeftCell="A35" zoomScale="125" workbookViewId="0">
      <selection activeCell="F54" sqref="F54"/>
    </sheetView>
  </sheetViews>
  <sheetFormatPr baseColWidth="10" defaultRowHeight="16" x14ac:dyDescent="0.2"/>
  <cols>
    <col min="2" max="2" width="14.6640625" bestFit="1" customWidth="1"/>
    <col min="4" max="4" width="11.33203125" bestFit="1" customWidth="1"/>
    <col min="5" max="6" width="12.5" bestFit="1" customWidth="1"/>
  </cols>
  <sheetData>
    <row r="1" spans="1:9" x14ac:dyDescent="0.2">
      <c r="A1" t="s">
        <v>14</v>
      </c>
    </row>
    <row r="3" spans="1:9" x14ac:dyDescent="0.2">
      <c r="A3" t="s">
        <v>15</v>
      </c>
    </row>
    <row r="4" spans="1:9" x14ac:dyDescent="0.2">
      <c r="B4" t="s">
        <v>32</v>
      </c>
      <c r="C4" t="s">
        <v>28</v>
      </c>
      <c r="D4" t="s">
        <v>33</v>
      </c>
      <c r="E4" t="s">
        <v>34</v>
      </c>
      <c r="F4" t="s">
        <v>12</v>
      </c>
    </row>
    <row r="5" spans="1:9" x14ac:dyDescent="0.2">
      <c r="A5" t="s">
        <v>16</v>
      </c>
      <c r="B5" s="8">
        <v>300</v>
      </c>
      <c r="C5" s="5" t="s">
        <v>29</v>
      </c>
      <c r="D5" s="9">
        <f>B5*20</f>
        <v>6000</v>
      </c>
      <c r="E5" s="9">
        <f>D5*18</f>
        <v>108000</v>
      </c>
      <c r="F5" s="9">
        <f>E5*15%+5/20*D5</f>
        <v>17700</v>
      </c>
    </row>
    <row r="6" spans="1:9" x14ac:dyDescent="0.2">
      <c r="A6" t="s">
        <v>17</v>
      </c>
      <c r="B6" s="7">
        <f>B5*(1+C6)</f>
        <v>309</v>
      </c>
      <c r="C6" s="6">
        <v>0.03</v>
      </c>
      <c r="D6" s="9">
        <f t="shared" ref="D6:D16" si="0">B6*20</f>
        <v>6180</v>
      </c>
      <c r="E6" s="9">
        <f t="shared" ref="E6:E16" si="1">D6*18</f>
        <v>111240</v>
      </c>
      <c r="F6" s="9">
        <f t="shared" ref="F6:F16" si="2">E6*15%+5/20*D6</f>
        <v>18231</v>
      </c>
    </row>
    <row r="7" spans="1:9" x14ac:dyDescent="0.2">
      <c r="A7" t="s">
        <v>18</v>
      </c>
      <c r="B7" s="7">
        <f t="shared" ref="B7:B16" si="3">B6*(1+C7)</f>
        <v>318.27</v>
      </c>
      <c r="C7" s="6">
        <v>0.03</v>
      </c>
      <c r="D7" s="9">
        <f t="shared" si="0"/>
        <v>6365.4</v>
      </c>
      <c r="E7" s="9">
        <f t="shared" si="1"/>
        <v>114577.2</v>
      </c>
      <c r="F7" s="9">
        <f t="shared" si="2"/>
        <v>18777.929999999997</v>
      </c>
    </row>
    <row r="8" spans="1:9" x14ac:dyDescent="0.2">
      <c r="A8" t="s">
        <v>19</v>
      </c>
      <c r="B8" s="7">
        <f t="shared" si="3"/>
        <v>327.81810000000002</v>
      </c>
      <c r="C8" s="6">
        <v>0.03</v>
      </c>
      <c r="D8" s="9">
        <f t="shared" si="0"/>
        <v>6556.3620000000001</v>
      </c>
      <c r="E8" s="9">
        <f t="shared" si="1"/>
        <v>118014.516</v>
      </c>
      <c r="F8" s="9">
        <f t="shared" si="2"/>
        <v>19341.267899999999</v>
      </c>
    </row>
    <row r="9" spans="1:9" x14ac:dyDescent="0.2">
      <c r="A9" t="s">
        <v>20</v>
      </c>
      <c r="B9" s="7">
        <f t="shared" si="3"/>
        <v>337.65264300000001</v>
      </c>
      <c r="C9" s="6">
        <v>0.03</v>
      </c>
      <c r="D9" s="9">
        <f t="shared" si="0"/>
        <v>6753.0528599999998</v>
      </c>
      <c r="E9" s="9">
        <f t="shared" si="1"/>
        <v>121554.95147999999</v>
      </c>
      <c r="F9" s="9">
        <f t="shared" si="2"/>
        <v>19921.505936999998</v>
      </c>
      <c r="I9">
        <f>(415-300)/300</f>
        <v>0.38333333333333336</v>
      </c>
    </row>
    <row r="10" spans="1:9" x14ac:dyDescent="0.2">
      <c r="A10" t="s">
        <v>21</v>
      </c>
      <c r="B10" s="7">
        <f t="shared" si="3"/>
        <v>347.78222228999999</v>
      </c>
      <c r="C10" s="6">
        <v>0.03</v>
      </c>
      <c r="D10" s="9">
        <f t="shared" si="0"/>
        <v>6955.6444457999996</v>
      </c>
      <c r="E10" s="9">
        <f t="shared" si="1"/>
        <v>125201.60002439999</v>
      </c>
      <c r="F10" s="9">
        <f t="shared" si="2"/>
        <v>20519.151115109998</v>
      </c>
    </row>
    <row r="11" spans="1:9" x14ac:dyDescent="0.2">
      <c r="A11" t="s">
        <v>22</v>
      </c>
      <c r="B11" s="7">
        <f t="shared" si="3"/>
        <v>358.21568895870001</v>
      </c>
      <c r="C11" s="6">
        <v>0.03</v>
      </c>
      <c r="D11" s="9">
        <f t="shared" si="0"/>
        <v>7164.313779174</v>
      </c>
      <c r="E11" s="9">
        <f t="shared" si="1"/>
        <v>128957.648025132</v>
      </c>
      <c r="F11" s="9">
        <f t="shared" si="2"/>
        <v>21134.725648563301</v>
      </c>
    </row>
    <row r="12" spans="1:9" x14ac:dyDescent="0.2">
      <c r="A12" t="s">
        <v>23</v>
      </c>
      <c r="B12" s="7">
        <f t="shared" si="3"/>
        <v>368.96215962746101</v>
      </c>
      <c r="C12" s="6">
        <v>0.03</v>
      </c>
      <c r="D12" s="9">
        <f t="shared" si="0"/>
        <v>7379.2431925492201</v>
      </c>
      <c r="E12" s="9">
        <f t="shared" si="1"/>
        <v>132826.37746588595</v>
      </c>
      <c r="F12" s="9">
        <f t="shared" si="2"/>
        <v>21768.767418020194</v>
      </c>
    </row>
    <row r="13" spans="1:9" x14ac:dyDescent="0.2">
      <c r="A13" t="s">
        <v>24</v>
      </c>
      <c r="B13" s="7">
        <f t="shared" si="3"/>
        <v>380.03102441628482</v>
      </c>
      <c r="C13" s="6">
        <v>0.03</v>
      </c>
      <c r="D13" s="9">
        <f t="shared" si="0"/>
        <v>7600.620488325696</v>
      </c>
      <c r="E13" s="9">
        <f t="shared" si="1"/>
        <v>136811.16878986254</v>
      </c>
      <c r="F13" s="9">
        <f t="shared" si="2"/>
        <v>22421.830440560807</v>
      </c>
    </row>
    <row r="14" spans="1:9" x14ac:dyDescent="0.2">
      <c r="A14" t="s">
        <v>25</v>
      </c>
      <c r="B14" s="7">
        <f t="shared" si="3"/>
        <v>391.4319551487734</v>
      </c>
      <c r="C14" s="6">
        <v>0.03</v>
      </c>
      <c r="D14" s="9">
        <f t="shared" si="0"/>
        <v>7828.6391029754677</v>
      </c>
      <c r="E14" s="9">
        <f t="shared" si="1"/>
        <v>140915.50385355842</v>
      </c>
      <c r="F14" s="9">
        <f t="shared" si="2"/>
        <v>23094.485353777629</v>
      </c>
    </row>
    <row r="15" spans="1:9" x14ac:dyDescent="0.2">
      <c r="A15" t="s">
        <v>26</v>
      </c>
      <c r="B15" s="7">
        <f t="shared" si="3"/>
        <v>403.17491380323662</v>
      </c>
      <c r="C15" s="6">
        <v>0.03</v>
      </c>
      <c r="D15" s="9">
        <f t="shared" si="0"/>
        <v>8063.4982760647326</v>
      </c>
      <c r="E15" s="9">
        <f t="shared" si="1"/>
        <v>145142.96896916517</v>
      </c>
      <c r="F15" s="9">
        <f t="shared" si="2"/>
        <v>23787.319914390959</v>
      </c>
    </row>
    <row r="16" spans="1:9" x14ac:dyDescent="0.2">
      <c r="A16" t="s">
        <v>27</v>
      </c>
      <c r="B16" s="7">
        <f t="shared" si="3"/>
        <v>415.27016121733374</v>
      </c>
      <c r="C16" s="6">
        <v>0.03</v>
      </c>
      <c r="D16" s="9">
        <f t="shared" si="0"/>
        <v>8305.4032243466754</v>
      </c>
      <c r="E16" s="9">
        <f t="shared" si="1"/>
        <v>149497.25803824016</v>
      </c>
      <c r="F16" s="9">
        <f t="shared" si="2"/>
        <v>24500.939511822693</v>
      </c>
    </row>
    <row r="17" spans="1:6" x14ac:dyDescent="0.2">
      <c r="B17" s="7"/>
      <c r="C17" s="6"/>
      <c r="D17" s="9"/>
      <c r="E17" s="9"/>
      <c r="F17" s="9"/>
    </row>
    <row r="18" spans="1:6" x14ac:dyDescent="0.2">
      <c r="A18" t="s">
        <v>35</v>
      </c>
      <c r="B18" s="7">
        <f>SUM(B5:B16)</f>
        <v>4257.6088684617889</v>
      </c>
      <c r="C18" s="7"/>
      <c r="D18" s="7">
        <f t="shared" ref="D18:F18" si="4">SUM(D5:D16)</f>
        <v>85152.177369235797</v>
      </c>
      <c r="E18" s="7">
        <f t="shared" si="4"/>
        <v>1532739.1926462443</v>
      </c>
      <c r="F18" s="7">
        <f t="shared" si="4"/>
        <v>251198.92323924557</v>
      </c>
    </row>
    <row r="19" spans="1:6" x14ac:dyDescent="0.2">
      <c r="B19" s="7"/>
      <c r="C19" s="6"/>
      <c r="D19" s="9"/>
      <c r="E19" s="9"/>
      <c r="F19" s="9"/>
    </row>
    <row r="21" spans="1:6" x14ac:dyDescent="0.2">
      <c r="A21" t="s">
        <v>30</v>
      </c>
      <c r="B21" t="s">
        <v>32</v>
      </c>
      <c r="C21" t="s">
        <v>28</v>
      </c>
      <c r="D21" t="s">
        <v>33</v>
      </c>
      <c r="E21" t="s">
        <v>34</v>
      </c>
      <c r="F21" t="s">
        <v>12</v>
      </c>
    </row>
    <row r="23" spans="1:6" x14ac:dyDescent="0.2">
      <c r="A23" t="s">
        <v>16</v>
      </c>
      <c r="B23" s="9">
        <f>B16*(1+C23)</f>
        <v>436.03366927820042</v>
      </c>
      <c r="C23" s="1">
        <v>0.05</v>
      </c>
      <c r="D23" s="9">
        <f>B23*20</f>
        <v>8720.6733855640086</v>
      </c>
      <c r="E23" s="10">
        <f>D23*18.648</f>
        <v>162623.11729399764</v>
      </c>
      <c r="F23" s="10">
        <f>E23*17%+5/20*D23</f>
        <v>29826.098286370601</v>
      </c>
    </row>
    <row r="24" spans="1:6" x14ac:dyDescent="0.2">
      <c r="A24" t="s">
        <v>17</v>
      </c>
      <c r="B24" s="9">
        <f>B23*(1+C24)</f>
        <v>457.83535274211044</v>
      </c>
      <c r="C24" s="1">
        <v>0.05</v>
      </c>
      <c r="D24" s="9">
        <f t="shared" ref="D24:D34" si="5">B24*20</f>
        <v>9156.7070548422089</v>
      </c>
      <c r="E24" s="10">
        <f t="shared" ref="E24:E34" si="6">D24*18.648</f>
        <v>170754.2731586975</v>
      </c>
      <c r="F24" s="10">
        <f t="shared" ref="F24:F34" si="7">E24*17%+5/20*D24</f>
        <v>31317.403200689128</v>
      </c>
    </row>
    <row r="25" spans="1:6" x14ac:dyDescent="0.2">
      <c r="A25" t="s">
        <v>18</v>
      </c>
      <c r="B25" s="9">
        <f t="shared" ref="B25:B34" si="8">B24*(1+C25)</f>
        <v>480.72712037921599</v>
      </c>
      <c r="C25" s="1">
        <v>0.05</v>
      </c>
      <c r="D25" s="9">
        <f t="shared" si="5"/>
        <v>9614.5424075843202</v>
      </c>
      <c r="E25" s="10">
        <f t="shared" si="6"/>
        <v>179291.98681663239</v>
      </c>
      <c r="F25" s="10">
        <f t="shared" si="7"/>
        <v>32883.273360723586</v>
      </c>
    </row>
    <row r="26" spans="1:6" x14ac:dyDescent="0.2">
      <c r="A26" t="s">
        <v>19</v>
      </c>
      <c r="B26" s="9">
        <f t="shared" si="8"/>
        <v>504.76347639817681</v>
      </c>
      <c r="C26" s="1">
        <v>0.05</v>
      </c>
      <c r="D26" s="9">
        <f t="shared" si="5"/>
        <v>10095.269527963535</v>
      </c>
      <c r="E26" s="10">
        <f t="shared" si="6"/>
        <v>188256.58615746401</v>
      </c>
      <c r="F26" s="10">
        <f t="shared" si="7"/>
        <v>34527.43702875977</v>
      </c>
    </row>
    <row r="27" spans="1:6" x14ac:dyDescent="0.2">
      <c r="A27" t="s">
        <v>20</v>
      </c>
      <c r="B27" s="9">
        <f t="shared" si="8"/>
        <v>530.00165021808562</v>
      </c>
      <c r="C27" s="1">
        <v>0.05</v>
      </c>
      <c r="D27" s="9">
        <f t="shared" si="5"/>
        <v>10600.033004361712</v>
      </c>
      <c r="E27" s="10">
        <f t="shared" si="6"/>
        <v>197669.4154653372</v>
      </c>
      <c r="F27" s="10">
        <f t="shared" si="7"/>
        <v>36253.80888019775</v>
      </c>
    </row>
    <row r="28" spans="1:6" x14ac:dyDescent="0.2">
      <c r="A28" t="s">
        <v>21</v>
      </c>
      <c r="B28" s="9">
        <f t="shared" si="8"/>
        <v>556.50173272898996</v>
      </c>
      <c r="C28" s="1">
        <v>0.05</v>
      </c>
      <c r="D28" s="9">
        <f t="shared" si="5"/>
        <v>11130.034654579798</v>
      </c>
      <c r="E28" s="10">
        <f t="shared" si="6"/>
        <v>207552.88623860409</v>
      </c>
      <c r="F28" s="10">
        <f t="shared" si="7"/>
        <v>38066.499324207645</v>
      </c>
    </row>
    <row r="29" spans="1:6" x14ac:dyDescent="0.2">
      <c r="A29" t="s">
        <v>22</v>
      </c>
      <c r="B29" s="9">
        <f t="shared" si="8"/>
        <v>584.32681936543952</v>
      </c>
      <c r="C29" s="1">
        <v>0.05</v>
      </c>
      <c r="D29" s="9">
        <f t="shared" si="5"/>
        <v>11686.53638730879</v>
      </c>
      <c r="E29" s="10">
        <f t="shared" si="6"/>
        <v>217930.53055053431</v>
      </c>
      <c r="F29" s="10">
        <f t="shared" si="7"/>
        <v>39969.824290418037</v>
      </c>
    </row>
    <row r="30" spans="1:6" x14ac:dyDescent="0.2">
      <c r="A30" t="s">
        <v>23</v>
      </c>
      <c r="B30" s="9">
        <f t="shared" si="8"/>
        <v>613.54316033371151</v>
      </c>
      <c r="C30" s="1">
        <v>0.05</v>
      </c>
      <c r="D30" s="9">
        <f t="shared" si="5"/>
        <v>12270.86320667423</v>
      </c>
      <c r="E30" s="10">
        <f t="shared" si="6"/>
        <v>228827.05707806104</v>
      </c>
      <c r="F30" s="10">
        <f t="shared" si="7"/>
        <v>41968.315504938939</v>
      </c>
    </row>
    <row r="31" spans="1:6" x14ac:dyDescent="0.2">
      <c r="A31" t="s">
        <v>24</v>
      </c>
      <c r="B31" s="9">
        <f t="shared" si="8"/>
        <v>644.22031835039706</v>
      </c>
      <c r="C31" s="1">
        <v>0.05</v>
      </c>
      <c r="D31" s="9">
        <f t="shared" si="5"/>
        <v>12884.406367007941</v>
      </c>
      <c r="E31" s="10">
        <f t="shared" si="6"/>
        <v>240268.4099319641</v>
      </c>
      <c r="F31" s="10">
        <f t="shared" si="7"/>
        <v>44066.731280185886</v>
      </c>
    </row>
    <row r="32" spans="1:6" x14ac:dyDescent="0.2">
      <c r="A32" t="s">
        <v>25</v>
      </c>
      <c r="B32" s="9">
        <f t="shared" si="8"/>
        <v>676.4313342679169</v>
      </c>
      <c r="C32" s="1">
        <v>0.05</v>
      </c>
      <c r="D32" s="9">
        <f t="shared" si="5"/>
        <v>13528.626685358338</v>
      </c>
      <c r="E32" s="10">
        <f t="shared" si="6"/>
        <v>252281.8304285623</v>
      </c>
      <c r="F32" s="10">
        <f t="shared" si="7"/>
        <v>46270.067844195182</v>
      </c>
    </row>
    <row r="33" spans="1:6" x14ac:dyDescent="0.2">
      <c r="A33" t="s">
        <v>26</v>
      </c>
      <c r="B33" s="9">
        <f t="shared" si="8"/>
        <v>710.25290098131279</v>
      </c>
      <c r="C33" s="1">
        <v>0.05</v>
      </c>
      <c r="D33" s="9">
        <f t="shared" si="5"/>
        <v>14205.058019626256</v>
      </c>
      <c r="E33" s="10">
        <f t="shared" si="6"/>
        <v>264895.92194999044</v>
      </c>
      <c r="F33" s="10">
        <f t="shared" si="7"/>
        <v>48583.57123640494</v>
      </c>
    </row>
    <row r="34" spans="1:6" x14ac:dyDescent="0.2">
      <c r="A34" t="s">
        <v>27</v>
      </c>
      <c r="B34" s="9">
        <f t="shared" si="8"/>
        <v>745.76554603037846</v>
      </c>
      <c r="C34" s="1">
        <v>0.05</v>
      </c>
      <c r="D34" s="9">
        <f t="shared" si="5"/>
        <v>14915.31092060757</v>
      </c>
      <c r="E34" s="10">
        <f t="shared" si="6"/>
        <v>278140.71804748994</v>
      </c>
      <c r="F34" s="10">
        <f t="shared" si="7"/>
        <v>51012.749798225181</v>
      </c>
    </row>
    <row r="35" spans="1:6" x14ac:dyDescent="0.2">
      <c r="B35" s="9"/>
      <c r="C35" s="1"/>
      <c r="D35" s="9"/>
      <c r="E35" s="10"/>
      <c r="F35" s="10"/>
    </row>
    <row r="36" spans="1:6" x14ac:dyDescent="0.2">
      <c r="A36" t="s">
        <v>35</v>
      </c>
      <c r="B36" s="9">
        <f>SUM(B23:B34)</f>
        <v>6940.4030810739359</v>
      </c>
      <c r="C36" s="9"/>
      <c r="D36" s="9">
        <f t="shared" ref="D36:F36" si="9">SUM(D23:D34)</f>
        <v>138808.0616214787</v>
      </c>
      <c r="E36" s="9">
        <f t="shared" si="9"/>
        <v>2588492.733117335</v>
      </c>
      <c r="F36" s="9">
        <f t="shared" si="9"/>
        <v>474745.78003531659</v>
      </c>
    </row>
    <row r="37" spans="1:6" x14ac:dyDescent="0.2">
      <c r="B37" s="9"/>
      <c r="C37" s="1"/>
      <c r="D37" s="9"/>
      <c r="E37" s="10"/>
      <c r="F37" s="10"/>
    </row>
    <row r="38" spans="1:6" x14ac:dyDescent="0.2">
      <c r="D38" s="9"/>
    </row>
    <row r="39" spans="1:6" x14ac:dyDescent="0.2">
      <c r="A39" t="s">
        <v>31</v>
      </c>
      <c r="B39" t="s">
        <v>32</v>
      </c>
      <c r="C39" t="s">
        <v>28</v>
      </c>
      <c r="D39" t="s">
        <v>33</v>
      </c>
      <c r="E39" t="s">
        <v>34</v>
      </c>
      <c r="F39" t="s">
        <v>12</v>
      </c>
    </row>
    <row r="40" spans="1:6" x14ac:dyDescent="0.2">
      <c r="D40" s="9"/>
    </row>
    <row r="41" spans="1:6" x14ac:dyDescent="0.2">
      <c r="A41" t="s">
        <v>16</v>
      </c>
      <c r="B41" s="9">
        <f>B34*(1+C41)</f>
        <v>797.969134252505</v>
      </c>
      <c r="C41" s="1">
        <v>7.0000000000000007E-2</v>
      </c>
      <c r="D41" s="9">
        <f>B41*20</f>
        <v>15959.382685050099</v>
      </c>
      <c r="E41" s="10">
        <f>D41*(19.319)</f>
        <v>308319.31409248285</v>
      </c>
      <c r="F41" s="10">
        <f>E41*18%+D41*5/20</f>
        <v>59487.322207909434</v>
      </c>
    </row>
    <row r="42" spans="1:6" x14ac:dyDescent="0.2">
      <c r="A42" t="s">
        <v>17</v>
      </c>
      <c r="B42" s="9">
        <f>B41*(1+C42)</f>
        <v>853.82697365018043</v>
      </c>
      <c r="C42" s="1">
        <v>7.0000000000000007E-2</v>
      </c>
      <c r="D42" s="9">
        <f t="shared" ref="D42:D52" si="10">B42*20</f>
        <v>17076.53947300361</v>
      </c>
      <c r="E42" s="10">
        <f t="shared" ref="E42:E52" si="11">D42*(19.319)</f>
        <v>329901.66607895674</v>
      </c>
      <c r="F42" s="10">
        <f t="shared" ref="F42:F52" si="12">E42*18%+D42*5/20</f>
        <v>63651.434762463119</v>
      </c>
    </row>
    <row r="43" spans="1:6" x14ac:dyDescent="0.2">
      <c r="A43" t="s">
        <v>18</v>
      </c>
      <c r="B43" s="9">
        <f t="shared" ref="B43:B52" si="13">B42*(1+C43)</f>
        <v>913.59486180569309</v>
      </c>
      <c r="C43" s="1">
        <v>7.0000000000000007E-2</v>
      </c>
      <c r="D43" s="9">
        <f t="shared" si="10"/>
        <v>18271.897236113862</v>
      </c>
      <c r="E43" s="10">
        <f t="shared" si="11"/>
        <v>352994.78270448366</v>
      </c>
      <c r="F43" s="10">
        <f t="shared" si="12"/>
        <v>68107.035195835517</v>
      </c>
    </row>
    <row r="44" spans="1:6" x14ac:dyDescent="0.2">
      <c r="A44" t="s">
        <v>19</v>
      </c>
      <c r="B44" s="9">
        <f t="shared" si="13"/>
        <v>977.54650213209163</v>
      </c>
      <c r="C44" s="1">
        <v>7.0000000000000007E-2</v>
      </c>
      <c r="D44" s="9">
        <f t="shared" si="10"/>
        <v>19550.930042641834</v>
      </c>
      <c r="E44" s="10">
        <f t="shared" si="11"/>
        <v>377704.41749379755</v>
      </c>
      <c r="F44" s="10">
        <f t="shared" si="12"/>
        <v>72874.527659544008</v>
      </c>
    </row>
    <row r="45" spans="1:6" x14ac:dyDescent="0.2">
      <c r="A45" t="s">
        <v>20</v>
      </c>
      <c r="B45" s="9">
        <f t="shared" si="13"/>
        <v>1045.974757281338</v>
      </c>
      <c r="C45" s="1">
        <v>7.0000000000000007E-2</v>
      </c>
      <c r="D45" s="9">
        <f t="shared" si="10"/>
        <v>20919.495145626759</v>
      </c>
      <c r="E45" s="10">
        <f t="shared" si="11"/>
        <v>404143.72671836335</v>
      </c>
      <c r="F45" s="10">
        <f t="shared" si="12"/>
        <v>77975.744595712094</v>
      </c>
    </row>
    <row r="46" spans="1:6" x14ac:dyDescent="0.2">
      <c r="A46" t="s">
        <v>21</v>
      </c>
      <c r="B46" s="9">
        <f t="shared" si="13"/>
        <v>1119.1929902910317</v>
      </c>
      <c r="C46" s="1">
        <v>7.0000000000000007E-2</v>
      </c>
      <c r="D46" s="9">
        <f t="shared" si="10"/>
        <v>22383.859805820633</v>
      </c>
      <c r="E46" s="10">
        <f t="shared" si="11"/>
        <v>432433.78758864879</v>
      </c>
      <c r="F46" s="10">
        <f t="shared" si="12"/>
        <v>83434.04671741194</v>
      </c>
    </row>
    <row r="47" spans="1:6" x14ac:dyDescent="0.2">
      <c r="A47" t="s">
        <v>22</v>
      </c>
      <c r="B47" s="9">
        <f t="shared" si="13"/>
        <v>1197.536499611404</v>
      </c>
      <c r="C47" s="1">
        <v>7.0000000000000007E-2</v>
      </c>
      <c r="D47" s="9">
        <f t="shared" si="10"/>
        <v>23950.72999222808</v>
      </c>
      <c r="E47" s="10">
        <f t="shared" si="11"/>
        <v>462704.15271985426</v>
      </c>
      <c r="F47" s="10">
        <f t="shared" si="12"/>
        <v>89274.429987630792</v>
      </c>
    </row>
    <row r="48" spans="1:6" x14ac:dyDescent="0.2">
      <c r="A48" t="s">
        <v>23</v>
      </c>
      <c r="B48" s="9">
        <f t="shared" si="13"/>
        <v>1281.3640545842024</v>
      </c>
      <c r="C48" s="1">
        <v>7.0000000000000007E-2</v>
      </c>
      <c r="D48" s="9">
        <f t="shared" si="10"/>
        <v>25627.28109168405</v>
      </c>
      <c r="E48" s="10">
        <f t="shared" si="11"/>
        <v>495093.44341024413</v>
      </c>
      <c r="F48" s="10">
        <f t="shared" si="12"/>
        <v>95523.64008676495</v>
      </c>
    </row>
    <row r="49" spans="1:6" x14ac:dyDescent="0.2">
      <c r="A49" t="s">
        <v>24</v>
      </c>
      <c r="B49" s="9">
        <f t="shared" si="13"/>
        <v>1371.0595384050966</v>
      </c>
      <c r="C49" s="1">
        <v>7.0000000000000007E-2</v>
      </c>
      <c r="D49" s="9">
        <f t="shared" si="10"/>
        <v>27421.190768101933</v>
      </c>
      <c r="E49" s="10">
        <f t="shared" si="11"/>
        <v>529749.98444896122</v>
      </c>
      <c r="F49" s="10">
        <f t="shared" si="12"/>
        <v>102210.2948928385</v>
      </c>
    </row>
    <row r="50" spans="1:6" x14ac:dyDescent="0.2">
      <c r="A50" t="s">
        <v>25</v>
      </c>
      <c r="B50" s="9">
        <f t="shared" si="13"/>
        <v>1467.0337060934535</v>
      </c>
      <c r="C50" s="1">
        <v>7.0000000000000007E-2</v>
      </c>
      <c r="D50" s="9">
        <f t="shared" si="10"/>
        <v>29340.674121869069</v>
      </c>
      <c r="E50" s="10">
        <f t="shared" si="11"/>
        <v>566832.48336038855</v>
      </c>
      <c r="F50" s="10">
        <f t="shared" si="12"/>
        <v>109365.01553533721</v>
      </c>
    </row>
    <row r="51" spans="1:6" x14ac:dyDescent="0.2">
      <c r="A51" t="s">
        <v>26</v>
      </c>
      <c r="B51" s="9">
        <f t="shared" si="13"/>
        <v>1569.7260655199952</v>
      </c>
      <c r="C51" s="1">
        <v>7.0000000000000007E-2</v>
      </c>
      <c r="D51" s="9">
        <f t="shared" si="10"/>
        <v>31394.521310399905</v>
      </c>
      <c r="E51" s="10">
        <f t="shared" si="11"/>
        <v>606510.75719561568</v>
      </c>
      <c r="F51" s="10">
        <f t="shared" si="12"/>
        <v>117020.5666228108</v>
      </c>
    </row>
    <row r="52" spans="1:6" x14ac:dyDescent="0.2">
      <c r="A52" t="s">
        <v>27</v>
      </c>
      <c r="B52" s="9">
        <f t="shared" si="13"/>
        <v>1679.606890106395</v>
      </c>
      <c r="C52" s="1">
        <v>7.0000000000000007E-2</v>
      </c>
      <c r="D52" s="9">
        <f t="shared" si="10"/>
        <v>33592.137802127902</v>
      </c>
      <c r="E52" s="10">
        <f t="shared" si="11"/>
        <v>648966.51019930886</v>
      </c>
      <c r="F52" s="10">
        <f t="shared" si="12"/>
        <v>125212.00628640757</v>
      </c>
    </row>
    <row r="53" spans="1:6" x14ac:dyDescent="0.2">
      <c r="D53" s="9"/>
    </row>
    <row r="54" spans="1:6" x14ac:dyDescent="0.2">
      <c r="A54" t="s">
        <v>35</v>
      </c>
      <c r="B54" s="9">
        <f>SUM(B41:B52)</f>
        <v>14274.431973733388</v>
      </c>
      <c r="C54" s="9"/>
      <c r="D54" s="9">
        <f t="shared" ref="D54:F54" si="14">SUM(D41:D52)</f>
        <v>285488.63947466773</v>
      </c>
      <c r="E54" s="9">
        <f t="shared" si="14"/>
        <v>5515355.0260111056</v>
      </c>
      <c r="F54" s="9">
        <f t="shared" si="14"/>
        <v>1064136.0645506659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F4686-6C93-B14C-B20E-752AC630743C}">
  <dimension ref="A1:C70"/>
  <sheetViews>
    <sheetView topLeftCell="A57" zoomScale="207" workbookViewId="0">
      <selection activeCell="B69" sqref="B69"/>
    </sheetView>
  </sheetViews>
  <sheetFormatPr baseColWidth="10" defaultRowHeight="16" x14ac:dyDescent="0.2"/>
  <cols>
    <col min="1" max="1" width="37.5" bestFit="1" customWidth="1"/>
    <col min="2" max="2" width="23.83203125" bestFit="1" customWidth="1"/>
    <col min="3" max="3" width="30.33203125" bestFit="1" customWidth="1"/>
  </cols>
  <sheetData>
    <row r="1" spans="1:3" x14ac:dyDescent="0.2">
      <c r="A1" s="18" t="s">
        <v>36</v>
      </c>
    </row>
    <row r="3" spans="1:3" x14ac:dyDescent="0.2">
      <c r="A3" t="s">
        <v>37</v>
      </c>
      <c r="B3" s="11">
        <v>10000</v>
      </c>
    </row>
    <row r="5" spans="1:3" x14ac:dyDescent="0.2">
      <c r="A5" t="s">
        <v>38</v>
      </c>
    </row>
    <row r="7" spans="1:3" x14ac:dyDescent="0.2">
      <c r="A7" s="14" t="s">
        <v>39</v>
      </c>
      <c r="B7" s="14" t="s">
        <v>40</v>
      </c>
      <c r="C7" s="12"/>
    </row>
    <row r="8" spans="1:3" x14ac:dyDescent="0.2">
      <c r="A8" s="13" t="s">
        <v>42</v>
      </c>
      <c r="B8" s="14">
        <v>12000</v>
      </c>
      <c r="C8" s="13"/>
    </row>
    <row r="9" spans="1:3" x14ac:dyDescent="0.2">
      <c r="A9" s="13" t="s">
        <v>43</v>
      </c>
      <c r="B9" s="14">
        <v>1500</v>
      </c>
      <c r="C9" s="13"/>
    </row>
    <row r="10" spans="1:3" x14ac:dyDescent="0.2">
      <c r="A10" s="13" t="s">
        <v>44</v>
      </c>
      <c r="B10" s="14">
        <v>1000</v>
      </c>
      <c r="C10" s="13"/>
    </row>
    <row r="11" spans="1:3" x14ac:dyDescent="0.2">
      <c r="A11" s="13" t="s">
        <v>45</v>
      </c>
      <c r="B11" s="14">
        <v>1000</v>
      </c>
      <c r="C11" s="13"/>
    </row>
    <row r="12" spans="1:3" x14ac:dyDescent="0.2">
      <c r="A12" s="13" t="s">
        <v>46</v>
      </c>
      <c r="B12" s="14">
        <v>5000</v>
      </c>
      <c r="C12" s="13"/>
    </row>
    <row r="13" spans="1:3" x14ac:dyDescent="0.2">
      <c r="A13" s="15" t="s">
        <v>35</v>
      </c>
      <c r="B13" s="16">
        <f>SUM(B8:B12)</f>
        <v>20500</v>
      </c>
    </row>
    <row r="15" spans="1:3" x14ac:dyDescent="0.2">
      <c r="A15" s="13" t="s">
        <v>47</v>
      </c>
      <c r="B15" s="14">
        <v>2000</v>
      </c>
    </row>
    <row r="17" spans="1:3" x14ac:dyDescent="0.2">
      <c r="A17" s="16" t="s">
        <v>48</v>
      </c>
      <c r="B17" s="17">
        <f>SUM(B3,B13,B15)</f>
        <v>32500</v>
      </c>
    </row>
    <row r="20" spans="1:3" x14ac:dyDescent="0.2">
      <c r="A20" s="18" t="s">
        <v>49</v>
      </c>
    </row>
    <row r="22" spans="1:3" x14ac:dyDescent="0.2">
      <c r="A22" t="s">
        <v>50</v>
      </c>
    </row>
    <row r="24" spans="1:3" x14ac:dyDescent="0.2">
      <c r="A24" s="12" t="s">
        <v>39</v>
      </c>
      <c r="B24" s="14" t="s">
        <v>51</v>
      </c>
      <c r="C24" s="12"/>
    </row>
    <row r="25" spans="1:3" x14ac:dyDescent="0.2">
      <c r="A25" s="13" t="s">
        <v>52</v>
      </c>
      <c r="B25" s="14">
        <v>250</v>
      </c>
      <c r="C25" s="13"/>
    </row>
    <row r="26" spans="1:3" x14ac:dyDescent="0.2">
      <c r="A26" s="13" t="s">
        <v>53</v>
      </c>
      <c r="B26" s="14">
        <v>159</v>
      </c>
      <c r="C26" s="13"/>
    </row>
    <row r="27" spans="1:3" x14ac:dyDescent="0.2">
      <c r="A27" s="13" t="s">
        <v>54</v>
      </c>
      <c r="B27" s="14">
        <v>70</v>
      </c>
      <c r="C27" s="13"/>
    </row>
    <row r="28" spans="1:3" x14ac:dyDescent="0.2">
      <c r="A28" s="13" t="s">
        <v>55</v>
      </c>
      <c r="B28" s="14">
        <v>159</v>
      </c>
      <c r="C28" s="13"/>
    </row>
    <row r="29" spans="1:3" x14ac:dyDescent="0.2">
      <c r="A29" s="13" t="s">
        <v>56</v>
      </c>
      <c r="B29" s="14">
        <v>100</v>
      </c>
      <c r="C29" s="13"/>
    </row>
    <row r="31" spans="1:3" x14ac:dyDescent="0.2">
      <c r="A31" s="13" t="s">
        <v>112</v>
      </c>
      <c r="B31" s="16">
        <f>SUM(B25:B29)</f>
        <v>738</v>
      </c>
    </row>
    <row r="33" spans="1:3" x14ac:dyDescent="0.2">
      <c r="A33" s="13" t="s">
        <v>57</v>
      </c>
    </row>
    <row r="35" spans="1:3" x14ac:dyDescent="0.2">
      <c r="A35" s="12" t="s">
        <v>58</v>
      </c>
      <c r="B35" s="12" t="s">
        <v>51</v>
      </c>
      <c r="C35" s="12" t="s">
        <v>41</v>
      </c>
    </row>
    <row r="36" spans="1:3" x14ac:dyDescent="0.2">
      <c r="A36" s="13" t="s">
        <v>59</v>
      </c>
      <c r="B36" s="14">
        <v>2000</v>
      </c>
      <c r="C36" s="13" t="s">
        <v>60</v>
      </c>
    </row>
    <row r="37" spans="1:3" x14ac:dyDescent="0.2">
      <c r="A37" s="13" t="s">
        <v>61</v>
      </c>
      <c r="B37" s="14">
        <v>3000</v>
      </c>
      <c r="C37" s="13" t="s">
        <v>62</v>
      </c>
    </row>
    <row r="39" spans="1:3" x14ac:dyDescent="0.2">
      <c r="A39" t="s">
        <v>113</v>
      </c>
      <c r="B39" s="16">
        <v>5000</v>
      </c>
    </row>
    <row r="41" spans="1:3" x14ac:dyDescent="0.2">
      <c r="A41" t="s">
        <v>63</v>
      </c>
    </row>
    <row r="43" spans="1:3" x14ac:dyDescent="0.2">
      <c r="A43" s="12" t="s">
        <v>64</v>
      </c>
      <c r="B43" s="12" t="s">
        <v>65</v>
      </c>
    </row>
    <row r="44" spans="1:3" x14ac:dyDescent="0.2">
      <c r="A44" s="13" t="s">
        <v>66</v>
      </c>
      <c r="B44" s="14">
        <v>1500</v>
      </c>
    </row>
    <row r="45" spans="1:3" x14ac:dyDescent="0.2">
      <c r="A45" s="13" t="s">
        <v>67</v>
      </c>
      <c r="B45" s="14">
        <v>600</v>
      </c>
    </row>
    <row r="46" spans="1:3" x14ac:dyDescent="0.2">
      <c r="A46" s="13" t="s">
        <v>68</v>
      </c>
      <c r="B46" s="14">
        <v>600</v>
      </c>
    </row>
    <row r="47" spans="1:3" x14ac:dyDescent="0.2">
      <c r="A47" s="13" t="s">
        <v>69</v>
      </c>
      <c r="B47" s="14">
        <v>0</v>
      </c>
    </row>
    <row r="48" spans="1:3" x14ac:dyDescent="0.2">
      <c r="A48" s="13" t="s">
        <v>70</v>
      </c>
      <c r="B48" s="14">
        <v>1000</v>
      </c>
    </row>
    <row r="49" spans="1:2" x14ac:dyDescent="0.2">
      <c r="A49" s="13"/>
      <c r="B49" s="14"/>
    </row>
    <row r="50" spans="1:2" x14ac:dyDescent="0.2">
      <c r="A50" s="13" t="s">
        <v>114</v>
      </c>
      <c r="B50" s="16">
        <f>SUM(B44:B48)</f>
        <v>3700</v>
      </c>
    </row>
    <row r="51" spans="1:2" x14ac:dyDescent="0.2">
      <c r="A51" s="13"/>
      <c r="B51" s="16"/>
    </row>
    <row r="52" spans="1:2" x14ac:dyDescent="0.2">
      <c r="A52" s="13" t="s">
        <v>74</v>
      </c>
      <c r="B52" s="16"/>
    </row>
    <row r="54" spans="1:2" x14ac:dyDescent="0.2">
      <c r="A54" s="12" t="s">
        <v>39</v>
      </c>
      <c r="B54" s="14" t="s">
        <v>51</v>
      </c>
    </row>
    <row r="55" spans="1:2" x14ac:dyDescent="0.2">
      <c r="A55" s="13" t="s">
        <v>71</v>
      </c>
      <c r="B55" s="14">
        <v>300</v>
      </c>
    </row>
    <row r="56" spans="1:2" x14ac:dyDescent="0.2">
      <c r="A56" s="13" t="s">
        <v>72</v>
      </c>
      <c r="B56" s="14">
        <v>50</v>
      </c>
    </row>
    <row r="57" spans="1:2" x14ac:dyDescent="0.2">
      <c r="A57" s="13" t="s">
        <v>73</v>
      </c>
      <c r="B57" s="14">
        <v>500</v>
      </c>
    </row>
    <row r="58" spans="1:2" x14ac:dyDescent="0.2">
      <c r="A58" s="13" t="s">
        <v>75</v>
      </c>
      <c r="B58" s="14">
        <v>500</v>
      </c>
    </row>
    <row r="59" spans="1:2" x14ac:dyDescent="0.2">
      <c r="A59" s="13"/>
      <c r="B59" s="14"/>
    </row>
    <row r="60" spans="1:2" x14ac:dyDescent="0.2">
      <c r="A60" s="13" t="s">
        <v>115</v>
      </c>
      <c r="B60" s="16">
        <f>SUM(B55:B58)</f>
        <v>1350</v>
      </c>
    </row>
    <row r="62" spans="1:2" x14ac:dyDescent="0.2">
      <c r="A62" s="19" t="s">
        <v>76</v>
      </c>
      <c r="B62" s="20">
        <f>B31+B39+B50+B60</f>
        <v>10788</v>
      </c>
    </row>
    <row r="66" spans="1:2" x14ac:dyDescent="0.2">
      <c r="A66" s="12" t="s">
        <v>77</v>
      </c>
      <c r="B66" s="12" t="s">
        <v>78</v>
      </c>
    </row>
    <row r="67" spans="1:2" x14ac:dyDescent="0.2">
      <c r="A67" s="13" t="s">
        <v>79</v>
      </c>
      <c r="B67" s="12" t="s">
        <v>80</v>
      </c>
    </row>
    <row r="68" spans="1:2" x14ac:dyDescent="0.2">
      <c r="A68" s="13" t="s">
        <v>81</v>
      </c>
      <c r="B68" s="12" t="s">
        <v>82</v>
      </c>
    </row>
    <row r="69" spans="1:2" x14ac:dyDescent="0.2">
      <c r="A69" s="13" t="s">
        <v>83</v>
      </c>
      <c r="B69" s="12" t="s">
        <v>84</v>
      </c>
    </row>
    <row r="70" spans="1:2" x14ac:dyDescent="0.2">
      <c r="A70" s="13" t="s">
        <v>85</v>
      </c>
      <c r="B70" s="12" t="s">
        <v>86</v>
      </c>
    </row>
  </sheetData>
  <pageMargins left="0.7" right="0.7" top="0.75" bottom="0.75" header="0.3" footer="0.3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A71CD-683C-0A4D-ABC8-EB23B269CA60}">
  <dimension ref="A2:D14"/>
  <sheetViews>
    <sheetView topLeftCell="A3" zoomScale="221" workbookViewId="0">
      <selection activeCell="C14" sqref="C14"/>
    </sheetView>
  </sheetViews>
  <sheetFormatPr baseColWidth="10" defaultRowHeight="16" x14ac:dyDescent="0.2"/>
  <cols>
    <col min="1" max="1" width="22.83203125" bestFit="1" customWidth="1"/>
    <col min="2" max="2" width="10.5" bestFit="1" customWidth="1"/>
    <col min="3" max="3" width="10.6640625" bestFit="1" customWidth="1"/>
    <col min="4" max="4" width="19.33203125" bestFit="1" customWidth="1"/>
  </cols>
  <sheetData>
    <row r="2" spans="1:4" x14ac:dyDescent="0.2">
      <c r="A2" t="s">
        <v>88</v>
      </c>
      <c r="B2" t="s">
        <v>89</v>
      </c>
      <c r="C2" t="s">
        <v>90</v>
      </c>
      <c r="D2" t="s">
        <v>87</v>
      </c>
    </row>
    <row r="3" spans="1:4" x14ac:dyDescent="0.2">
      <c r="A3">
        <v>20</v>
      </c>
      <c r="B3">
        <v>18</v>
      </c>
      <c r="C3" s="1">
        <v>0.15</v>
      </c>
      <c r="D3" s="24">
        <f>A3*B3*C3+5/30</f>
        <v>54.166666666666664</v>
      </c>
    </row>
    <row r="5" spans="1:4" x14ac:dyDescent="0.2">
      <c r="A5" t="s">
        <v>91</v>
      </c>
      <c r="D5">
        <f>B3*2.5%+0.5</f>
        <v>0.95</v>
      </c>
    </row>
    <row r="6" spans="1:4" x14ac:dyDescent="0.2">
      <c r="A6" t="s">
        <v>81</v>
      </c>
      <c r="D6">
        <v>0.2</v>
      </c>
    </row>
    <row r="7" spans="1:4" x14ac:dyDescent="0.2">
      <c r="A7" t="s">
        <v>92</v>
      </c>
      <c r="D7">
        <v>0.15</v>
      </c>
    </row>
    <row r="8" spans="1:4" x14ac:dyDescent="0.2">
      <c r="A8" t="s">
        <v>93</v>
      </c>
      <c r="D8">
        <v>2E-3</v>
      </c>
    </row>
    <row r="10" spans="1:4" x14ac:dyDescent="0.2">
      <c r="A10" t="s">
        <v>94</v>
      </c>
      <c r="C10" s="21">
        <f>B3*C3</f>
        <v>2.6999999999999997</v>
      </c>
    </row>
    <row r="11" spans="1:4" x14ac:dyDescent="0.2">
      <c r="A11" t="s">
        <v>96</v>
      </c>
      <c r="C11" s="21">
        <f>SUM(D5:D8)</f>
        <v>1.3019999999999998</v>
      </c>
    </row>
    <row r="12" spans="1:4" x14ac:dyDescent="0.2">
      <c r="A12" t="s">
        <v>95</v>
      </c>
      <c r="C12" s="21">
        <f>C10-C11</f>
        <v>1.3979999999999999</v>
      </c>
    </row>
    <row r="13" spans="1:4" x14ac:dyDescent="0.2">
      <c r="C13" s="21"/>
    </row>
    <row r="14" spans="1:4" x14ac:dyDescent="0.2">
      <c r="A14" t="s">
        <v>97</v>
      </c>
      <c r="C14" s="21">
        <f>A3*C12</f>
        <v>27.959999999999997</v>
      </c>
      <c r="D14" t="s">
        <v>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4C6FF-51CC-3342-BC80-09F729102494}">
  <dimension ref="A1:C43"/>
  <sheetViews>
    <sheetView zoomScale="172" workbookViewId="0">
      <selection activeCell="A41" sqref="A41"/>
    </sheetView>
  </sheetViews>
  <sheetFormatPr baseColWidth="10" defaultRowHeight="16" x14ac:dyDescent="0.2"/>
  <cols>
    <col min="1" max="1" width="37" bestFit="1" customWidth="1"/>
  </cols>
  <sheetData>
    <row r="1" spans="1:3" x14ac:dyDescent="0.2">
      <c r="A1" t="s">
        <v>108</v>
      </c>
      <c r="B1" s="11">
        <f>-Cost!B17</f>
        <v>-32500</v>
      </c>
    </row>
    <row r="3" spans="1:3" x14ac:dyDescent="0.2">
      <c r="A3" t="s">
        <v>97</v>
      </c>
      <c r="B3">
        <f>'Unit economics'!C14</f>
        <v>27.959999999999997</v>
      </c>
      <c r="C3" t="s">
        <v>98</v>
      </c>
    </row>
    <row r="4" spans="1:3" x14ac:dyDescent="0.2">
      <c r="A4" t="s">
        <v>99</v>
      </c>
      <c r="B4">
        <f>Cost!B62</f>
        <v>10788</v>
      </c>
      <c r="C4" t="s">
        <v>98</v>
      </c>
    </row>
    <row r="6" spans="1:3" x14ac:dyDescent="0.2">
      <c r="A6" t="s">
        <v>109</v>
      </c>
      <c r="B6" t="s">
        <v>110</v>
      </c>
      <c r="C6" t="s">
        <v>111</v>
      </c>
    </row>
    <row r="7" spans="1:3" x14ac:dyDescent="0.2">
      <c r="A7">
        <v>0</v>
      </c>
      <c r="B7">
        <v>0</v>
      </c>
      <c r="C7" s="11">
        <f>B1</f>
        <v>-32500</v>
      </c>
    </row>
    <row r="8" spans="1:3" x14ac:dyDescent="0.2">
      <c r="A8">
        <v>1</v>
      </c>
      <c r="B8">
        <f>$B$3*Revenue!B5-$B$4</f>
        <v>-2400</v>
      </c>
      <c r="C8" s="11">
        <f>C7+B8</f>
        <v>-34900</v>
      </c>
    </row>
    <row r="9" spans="1:3" x14ac:dyDescent="0.2">
      <c r="A9">
        <v>2</v>
      </c>
      <c r="B9">
        <f>$B$3*Revenue!B6-$B$4</f>
        <v>-2148.3600000000006</v>
      </c>
      <c r="C9" s="11">
        <f t="shared" ref="C9:C19" si="0">C8+B9</f>
        <v>-37048.36</v>
      </c>
    </row>
    <row r="10" spans="1:3" x14ac:dyDescent="0.2">
      <c r="A10">
        <v>3</v>
      </c>
      <c r="B10">
        <f>$B$3*Revenue!B7-$B$4</f>
        <v>-1889.1708000000017</v>
      </c>
      <c r="C10" s="11">
        <f t="shared" si="0"/>
        <v>-38937.5308</v>
      </c>
    </row>
    <row r="11" spans="1:3" x14ac:dyDescent="0.2">
      <c r="A11">
        <v>4</v>
      </c>
      <c r="B11">
        <f>$B$3*Revenue!B8-$B$4</f>
        <v>-1622.2059239999999</v>
      </c>
      <c r="C11" s="11">
        <f t="shared" si="0"/>
        <v>-40559.736724000002</v>
      </c>
    </row>
    <row r="12" spans="1:3" x14ac:dyDescent="0.2">
      <c r="A12">
        <v>5</v>
      </c>
      <c r="B12">
        <f>$B$3*Revenue!B9-$B$4</f>
        <v>-1347.2321017200011</v>
      </c>
      <c r="C12" s="11">
        <f t="shared" si="0"/>
        <v>-41906.968825720003</v>
      </c>
    </row>
    <row r="13" spans="1:3" x14ac:dyDescent="0.2">
      <c r="A13">
        <v>6</v>
      </c>
      <c r="B13">
        <f>$B$3*Revenue!B10-$B$4</f>
        <v>-1064.0090647716006</v>
      </c>
      <c r="C13" s="11">
        <f t="shared" si="0"/>
        <v>-42970.977890491602</v>
      </c>
    </row>
    <row r="14" spans="1:3" x14ac:dyDescent="0.2">
      <c r="A14">
        <v>7</v>
      </c>
      <c r="B14">
        <f>$B$3*Revenue!B11-$B$4</f>
        <v>-772.28933671474806</v>
      </c>
      <c r="C14" s="11">
        <f t="shared" si="0"/>
        <v>-43743.26722720635</v>
      </c>
    </row>
    <row r="15" spans="1:3" x14ac:dyDescent="0.2">
      <c r="A15">
        <v>8</v>
      </c>
      <c r="B15">
        <f>$B$3*Revenue!B12-$B$4</f>
        <v>-471.81801681619072</v>
      </c>
      <c r="C15" s="11">
        <f t="shared" si="0"/>
        <v>-44215.085244022543</v>
      </c>
    </row>
    <row r="16" spans="1:3" x14ac:dyDescent="0.2">
      <c r="A16">
        <v>9</v>
      </c>
      <c r="B16">
        <f>$B$3*Revenue!B13-$B$4</f>
        <v>-162.33255732067664</v>
      </c>
      <c r="C16" s="11">
        <f t="shared" si="0"/>
        <v>-44377.417801343217</v>
      </c>
    </row>
    <row r="17" spans="1:3" x14ac:dyDescent="0.2">
      <c r="A17">
        <v>10</v>
      </c>
      <c r="B17">
        <f>$B$3*Revenue!B14-$B$4</f>
        <v>156.43746595970333</v>
      </c>
      <c r="C17" s="11">
        <f t="shared" si="0"/>
        <v>-44220.980335383516</v>
      </c>
    </row>
    <row r="18" spans="1:3" x14ac:dyDescent="0.2">
      <c r="A18">
        <v>11</v>
      </c>
      <c r="B18">
        <f>$B$3*Revenue!B15-$B$4</f>
        <v>484.7705899384946</v>
      </c>
      <c r="C18" s="11">
        <f t="shared" si="0"/>
        <v>-43736.20974544502</v>
      </c>
    </row>
    <row r="19" spans="1:3" x14ac:dyDescent="0.2">
      <c r="A19">
        <v>12</v>
      </c>
      <c r="B19">
        <f>$B$3*Revenue!B16-$B$4</f>
        <v>822.95370763665051</v>
      </c>
      <c r="C19" s="11">
        <f t="shared" si="0"/>
        <v>-42913.256037808373</v>
      </c>
    </row>
    <row r="20" spans="1:3" x14ac:dyDescent="0.2">
      <c r="A20">
        <v>13</v>
      </c>
      <c r="B20">
        <f>$B$3*Revenue!B23-'Break even analysis'!$B$4</f>
        <v>1403.5013930184832</v>
      </c>
      <c r="C20" s="11">
        <f t="shared" ref="C20" si="1">C19+B20</f>
        <v>-41509.754644789893</v>
      </c>
    </row>
    <row r="21" spans="1:3" x14ac:dyDescent="0.2">
      <c r="A21">
        <v>14</v>
      </c>
      <c r="B21">
        <f>$B$3*Revenue!B24-'Break even analysis'!$B$4</f>
        <v>2013.0764626694072</v>
      </c>
      <c r="C21" s="11">
        <f t="shared" ref="C21:C32" si="2">C20+B21</f>
        <v>-39496.678182120486</v>
      </c>
    </row>
    <row r="22" spans="1:3" x14ac:dyDescent="0.2">
      <c r="A22">
        <v>15</v>
      </c>
      <c r="B22">
        <f>$B$3*Revenue!B25-'Break even analysis'!$B$4</f>
        <v>2653.1302858028776</v>
      </c>
      <c r="C22" s="11">
        <f t="shared" si="2"/>
        <v>-36843.547896317607</v>
      </c>
    </row>
    <row r="23" spans="1:3" x14ac:dyDescent="0.2">
      <c r="A23">
        <v>16</v>
      </c>
      <c r="B23">
        <f>$B$3*Revenue!B26-'Break even analysis'!$B$4</f>
        <v>3325.1868000930226</v>
      </c>
      <c r="C23" s="11">
        <f t="shared" si="2"/>
        <v>-33518.361096224588</v>
      </c>
    </row>
    <row r="24" spans="1:3" x14ac:dyDescent="0.2">
      <c r="A24">
        <v>17</v>
      </c>
      <c r="B24">
        <f>$B$3*Revenue!B27-'Break even analysis'!$B$4</f>
        <v>4030.8461400976721</v>
      </c>
      <c r="C24" s="11">
        <f t="shared" si="2"/>
        <v>-29487.514956126914</v>
      </c>
    </row>
    <row r="25" spans="1:3" x14ac:dyDescent="0.2">
      <c r="A25">
        <v>18</v>
      </c>
      <c r="B25">
        <f>$B$3*Revenue!B28-'Break even analysis'!$B$4</f>
        <v>4771.7884471025573</v>
      </c>
      <c r="C25" s="11">
        <f t="shared" si="2"/>
        <v>-24715.726509024356</v>
      </c>
    </row>
    <row r="26" spans="1:3" x14ac:dyDescent="0.2">
      <c r="A26">
        <v>19</v>
      </c>
      <c r="B26">
        <f>$B$3*Revenue!B29-'Break even analysis'!$B$4</f>
        <v>5549.7778694576882</v>
      </c>
      <c r="C26" s="11">
        <f t="shared" si="2"/>
        <v>-19165.948639566668</v>
      </c>
    </row>
    <row r="27" spans="1:3" x14ac:dyDescent="0.2">
      <c r="A27">
        <v>20</v>
      </c>
      <c r="B27">
        <f>$B$3*Revenue!B30-'Break even analysis'!$B$4</f>
        <v>6366.6667629305739</v>
      </c>
      <c r="C27" s="11">
        <f t="shared" si="2"/>
        <v>-12799.281876636094</v>
      </c>
    </row>
    <row r="28" spans="1:3" x14ac:dyDescent="0.2">
      <c r="A28">
        <v>21</v>
      </c>
      <c r="B28">
        <f>$B$3*Revenue!B31-'Break even analysis'!$B$4</f>
        <v>7224.400101077099</v>
      </c>
      <c r="C28" s="11">
        <f t="shared" si="2"/>
        <v>-5574.8817755589953</v>
      </c>
    </row>
    <row r="29" spans="1:3" x14ac:dyDescent="0.2">
      <c r="A29" s="18">
        <v>22</v>
      </c>
      <c r="B29" s="18">
        <f>$B$3*Revenue!B32-'Break even analysis'!$B$4</f>
        <v>8125.0201061309563</v>
      </c>
      <c r="C29" s="25">
        <f t="shared" si="2"/>
        <v>2550.138330571961</v>
      </c>
    </row>
    <row r="30" spans="1:3" x14ac:dyDescent="0.2">
      <c r="A30">
        <v>23</v>
      </c>
      <c r="B30">
        <f>$B$3*Revenue!B33-'Break even analysis'!$B$4</f>
        <v>9070.671111437503</v>
      </c>
      <c r="C30" s="11">
        <f t="shared" si="2"/>
        <v>11620.809442009464</v>
      </c>
    </row>
    <row r="31" spans="1:3" x14ac:dyDescent="0.2">
      <c r="A31">
        <v>24</v>
      </c>
      <c r="B31">
        <f>$B$3*Revenue!B34-'Break even analysis'!$B$4</f>
        <v>10063.604667009378</v>
      </c>
      <c r="C31" s="11">
        <f t="shared" si="2"/>
        <v>21684.414109018842</v>
      </c>
    </row>
    <row r="32" spans="1:3" x14ac:dyDescent="0.2">
      <c r="A32">
        <v>25</v>
      </c>
      <c r="B32">
        <f>$B$3*Revenue!B41-'Break even analysis'!$B$4</f>
        <v>11523.216993700036</v>
      </c>
      <c r="C32" s="11">
        <f t="shared" si="2"/>
        <v>33207.631102718879</v>
      </c>
    </row>
    <row r="33" spans="1:3" x14ac:dyDescent="0.2">
      <c r="A33">
        <v>26</v>
      </c>
      <c r="B33">
        <f>$B$3*Revenue!B42-'Break even analysis'!$B$4</f>
        <v>13085.002183259043</v>
      </c>
      <c r="C33" s="11">
        <f t="shared" ref="C33:C43" si="3">C32+B33</f>
        <v>46292.633285977921</v>
      </c>
    </row>
    <row r="34" spans="1:3" x14ac:dyDescent="0.2">
      <c r="A34">
        <v>27</v>
      </c>
      <c r="B34">
        <f>$B$3*Revenue!B43-'Break even analysis'!$B$4</f>
        <v>14756.112336087175</v>
      </c>
      <c r="C34" s="11">
        <f t="shared" si="3"/>
        <v>61048.745622065093</v>
      </c>
    </row>
    <row r="35" spans="1:3" x14ac:dyDescent="0.2">
      <c r="A35">
        <v>28</v>
      </c>
      <c r="B35">
        <f>$B$3*Revenue!B44-'Break even analysis'!$B$4</f>
        <v>16544.200199613279</v>
      </c>
      <c r="C35" s="11">
        <f t="shared" si="3"/>
        <v>77592.945821678368</v>
      </c>
    </row>
    <row r="36" spans="1:3" x14ac:dyDescent="0.2">
      <c r="A36">
        <v>29</v>
      </c>
      <c r="B36">
        <f>$B$3*Revenue!B45-'Break even analysis'!$B$4</f>
        <v>18457.45421358621</v>
      </c>
      <c r="C36" s="11">
        <f t="shared" si="3"/>
        <v>96050.400035264582</v>
      </c>
    </row>
    <row r="37" spans="1:3" x14ac:dyDescent="0.2">
      <c r="A37">
        <v>30</v>
      </c>
      <c r="B37">
        <f>$B$3*Revenue!B46-'Break even analysis'!$B$4</f>
        <v>20504.636008537243</v>
      </c>
      <c r="C37" s="11">
        <f t="shared" si="3"/>
        <v>116555.03604380183</v>
      </c>
    </row>
    <row r="38" spans="1:3" x14ac:dyDescent="0.2">
      <c r="A38">
        <v>31</v>
      </c>
      <c r="B38">
        <f>$B$3*Revenue!B47-'Break even analysis'!$B$4</f>
        <v>22695.120529134852</v>
      </c>
      <c r="C38" s="11">
        <f t="shared" si="3"/>
        <v>139250.15657293668</v>
      </c>
    </row>
    <row r="39" spans="1:3" x14ac:dyDescent="0.2">
      <c r="A39">
        <v>32</v>
      </c>
      <c r="B39">
        <f>$B$3*Revenue!B48-'Break even analysis'!$B$4</f>
        <v>25038.938966174297</v>
      </c>
      <c r="C39" s="11">
        <f t="shared" si="3"/>
        <v>164289.09553911097</v>
      </c>
    </row>
    <row r="40" spans="1:3" x14ac:dyDescent="0.2">
      <c r="A40">
        <v>33</v>
      </c>
      <c r="B40">
        <f>$B$3*Revenue!B49-'Break even analysis'!$B$4</f>
        <v>27546.824693806499</v>
      </c>
      <c r="C40" s="11">
        <f t="shared" si="3"/>
        <v>191835.92023291747</v>
      </c>
    </row>
    <row r="41" spans="1:3" x14ac:dyDescent="0.2">
      <c r="A41">
        <v>34</v>
      </c>
      <c r="B41">
        <f>$B$3*Revenue!B50-'Break even analysis'!$B$4</f>
        <v>30230.262422372958</v>
      </c>
      <c r="C41" s="11">
        <f t="shared" si="3"/>
        <v>222066.18265529044</v>
      </c>
    </row>
    <row r="42" spans="1:3" x14ac:dyDescent="0.2">
      <c r="A42">
        <v>35</v>
      </c>
      <c r="B42">
        <f>$B$3*Revenue!B51-'Break even analysis'!$B$4</f>
        <v>33101.540791939064</v>
      </c>
      <c r="C42" s="11">
        <f t="shared" si="3"/>
        <v>255167.72344722951</v>
      </c>
    </row>
    <row r="43" spans="1:3" x14ac:dyDescent="0.2">
      <c r="A43">
        <v>36</v>
      </c>
      <c r="B43">
        <f>$B$3*Revenue!B52-'Break even analysis'!$B$4</f>
        <v>36173.808647374797</v>
      </c>
      <c r="C43" s="11">
        <f t="shared" si="3"/>
        <v>291341.53209460434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19D94-ADC9-AB41-BC83-5CB393CEC06F}">
  <dimension ref="A1:D20"/>
  <sheetViews>
    <sheetView tabSelected="1" zoomScale="181" workbookViewId="0">
      <selection activeCell="D13" sqref="D13"/>
    </sheetView>
  </sheetViews>
  <sheetFormatPr baseColWidth="10" defaultRowHeight="16" x14ac:dyDescent="0.2"/>
  <cols>
    <col min="1" max="1" width="21.6640625" bestFit="1" customWidth="1"/>
    <col min="2" max="3" width="12" bestFit="1" customWidth="1"/>
    <col min="4" max="4" width="13" bestFit="1" customWidth="1"/>
  </cols>
  <sheetData>
    <row r="1" spans="1:4" x14ac:dyDescent="0.2">
      <c r="A1" t="s">
        <v>100</v>
      </c>
      <c r="B1">
        <v>1</v>
      </c>
      <c r="C1">
        <v>2</v>
      </c>
      <c r="D1">
        <v>3</v>
      </c>
    </row>
    <row r="3" spans="1:4" x14ac:dyDescent="0.2">
      <c r="A3" s="16" t="s">
        <v>12</v>
      </c>
      <c r="B3" s="22">
        <f>Revenue!F18</f>
        <v>251198.92323924557</v>
      </c>
      <c r="C3" s="22">
        <f>Revenue!F36</f>
        <v>474745.78003531659</v>
      </c>
      <c r="D3" s="22">
        <f>Revenue!F54</f>
        <v>1064136.0645506659</v>
      </c>
    </row>
    <row r="4" spans="1:4" x14ac:dyDescent="0.2">
      <c r="A4" t="s">
        <v>50</v>
      </c>
      <c r="B4" s="21">
        <f>Cost!B31</f>
        <v>738</v>
      </c>
      <c r="C4" s="21">
        <f>B4*1.1</f>
        <v>811.80000000000007</v>
      </c>
      <c r="D4" s="21">
        <f>C4*1.1</f>
        <v>892.98000000000013</v>
      </c>
    </row>
    <row r="5" spans="1:4" x14ac:dyDescent="0.2">
      <c r="A5" t="s">
        <v>101</v>
      </c>
      <c r="B5" s="21">
        <f>Cost!B39</f>
        <v>5000</v>
      </c>
      <c r="C5" s="21">
        <f t="shared" ref="C5:D5" si="0">B5*1.1</f>
        <v>5500</v>
      </c>
      <c r="D5" s="21">
        <f t="shared" si="0"/>
        <v>6050.0000000000009</v>
      </c>
    </row>
    <row r="6" spans="1:4" x14ac:dyDescent="0.2">
      <c r="A6" t="s">
        <v>102</v>
      </c>
      <c r="B6" s="21">
        <f>Cost!B50</f>
        <v>3700</v>
      </c>
      <c r="C6" s="21">
        <f t="shared" ref="C6:D6" si="1">B6*1.1</f>
        <v>4070.0000000000005</v>
      </c>
      <c r="D6" s="21">
        <f t="shared" si="1"/>
        <v>4477.0000000000009</v>
      </c>
    </row>
    <row r="7" spans="1:4" x14ac:dyDescent="0.2">
      <c r="A7" t="s">
        <v>74</v>
      </c>
      <c r="B7" s="21">
        <f>Cost!B60</f>
        <v>1350</v>
      </c>
      <c r="C7" s="21">
        <f t="shared" ref="C7:D7" si="2">B7*1.1</f>
        <v>1485.0000000000002</v>
      </c>
      <c r="D7" s="21">
        <f t="shared" si="2"/>
        <v>1633.5000000000005</v>
      </c>
    </row>
    <row r="8" spans="1:4" x14ac:dyDescent="0.2">
      <c r="A8" s="16" t="s">
        <v>103</v>
      </c>
      <c r="B8" s="22">
        <f>SUM(B4:B7)</f>
        <v>10788</v>
      </c>
      <c r="C8" s="22">
        <f t="shared" ref="C8:D8" si="3">SUM(C4:C7)</f>
        <v>11866.800000000001</v>
      </c>
      <c r="D8" s="22">
        <f t="shared" si="3"/>
        <v>13053.480000000003</v>
      </c>
    </row>
    <row r="9" spans="1:4" x14ac:dyDescent="0.2">
      <c r="A9" t="s">
        <v>104</v>
      </c>
      <c r="B9" s="21">
        <f>Revenue!E18*2.5%+Revenue!D18*0.5</f>
        <v>80894.56850077401</v>
      </c>
      <c r="C9" s="21">
        <f>Revenue!E36*2.5%+Revenue!D36*0.5</f>
        <v>134116.34913867273</v>
      </c>
      <c r="D9" s="21">
        <f>Revenue!E54*2.5%+Revenue!D54*0.5</f>
        <v>280628.19538761151</v>
      </c>
    </row>
    <row r="10" spans="1:4" x14ac:dyDescent="0.2">
      <c r="A10" t="s">
        <v>81</v>
      </c>
      <c r="B10" s="21">
        <f>Revenue!D18*0.2</f>
        <v>17030.435473847159</v>
      </c>
      <c r="C10" s="21">
        <f>0.2*Revenue!D36</f>
        <v>27761.61232429574</v>
      </c>
      <c r="D10" s="21">
        <f>0.2*Revenue!D54</f>
        <v>57097.727894933545</v>
      </c>
    </row>
    <row r="11" spans="1:4" x14ac:dyDescent="0.2">
      <c r="A11" t="s">
        <v>105</v>
      </c>
      <c r="B11" s="21">
        <f>Revenue!E18*0.02</f>
        <v>30654.783852924887</v>
      </c>
      <c r="C11" s="21">
        <f>Revenue!E36*0.02</f>
        <v>51769.854662346705</v>
      </c>
      <c r="D11" s="21">
        <f>Revenue!E54*0.02</f>
        <v>110307.10052022211</v>
      </c>
    </row>
    <row r="12" spans="1:4" x14ac:dyDescent="0.2">
      <c r="A12" s="16" t="s">
        <v>106</v>
      </c>
      <c r="B12" s="22">
        <f>SUM(B9:B11)</f>
        <v>128579.78782754605</v>
      </c>
      <c r="C12" s="22">
        <f t="shared" ref="C12:D12" si="4">SUM(C9:C11)</f>
        <v>213647.81612531518</v>
      </c>
      <c r="D12" s="22">
        <f t="shared" si="4"/>
        <v>448033.02380276716</v>
      </c>
    </row>
    <row r="13" spans="1:4" x14ac:dyDescent="0.2">
      <c r="A13" s="20" t="s">
        <v>107</v>
      </c>
      <c r="B13" s="23">
        <f>B3-B8-B12</f>
        <v>111831.13541169952</v>
      </c>
      <c r="C13" s="23">
        <f t="shared" ref="C13:D13" si="5">C3-C8-C12</f>
        <v>249231.16391000143</v>
      </c>
      <c r="D13" s="23">
        <f t="shared" si="5"/>
        <v>603049.56074789877</v>
      </c>
    </row>
    <row r="14" spans="1:4" x14ac:dyDescent="0.2">
      <c r="B14" s="21"/>
      <c r="C14" s="21"/>
      <c r="D14" s="21"/>
    </row>
    <row r="15" spans="1:4" x14ac:dyDescent="0.2">
      <c r="B15" s="21"/>
      <c r="C15" s="21"/>
      <c r="D15" s="21"/>
    </row>
    <row r="16" spans="1:4" x14ac:dyDescent="0.2">
      <c r="B16" s="21"/>
      <c r="C16" s="21"/>
      <c r="D16" s="21"/>
    </row>
    <row r="17" spans="2:4" x14ac:dyDescent="0.2">
      <c r="B17" s="21"/>
      <c r="C17" s="21"/>
      <c r="D17" s="21"/>
    </row>
    <row r="18" spans="2:4" x14ac:dyDescent="0.2">
      <c r="B18" s="21"/>
      <c r="C18" s="21"/>
      <c r="D18" s="21"/>
    </row>
    <row r="19" spans="2:4" x14ac:dyDescent="0.2">
      <c r="B19" s="21"/>
      <c r="C19" s="21"/>
      <c r="D19" s="21"/>
    </row>
    <row r="20" spans="2:4" x14ac:dyDescent="0.2">
      <c r="B20" s="21"/>
      <c r="C20" s="21"/>
      <c r="D20" s="2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Revenue</vt:lpstr>
      <vt:lpstr>Cost</vt:lpstr>
      <vt:lpstr>Unit economics</vt:lpstr>
      <vt:lpstr>Break even analysis</vt:lpstr>
      <vt:lpstr>Projected P&amp;L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Tanash Sultania [Artificial Intelligence &amp; Machine Learning - 2021]</dc:creator>
  <cp:lastModifiedBy>Tanash Sultania [Artificial Intelligence &amp; Machine Lea</cp:lastModifiedBy>
  <dcterms:created xsi:type="dcterms:W3CDTF">2025-12-03T12:06:15Z</dcterms:created>
  <dcterms:modified xsi:type="dcterms:W3CDTF">2025-12-08T05:45:44Z</dcterms:modified>
</cp:coreProperties>
</file>